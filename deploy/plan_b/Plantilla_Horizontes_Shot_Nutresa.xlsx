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otos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Matri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</font>
    <font>
      <name val="Montserrat"/>
    </font>
    <font>
      <name val="Montserrat"/>
      <b val="1"/>
      <color rgb="00FFFFFF"/>
    </font>
    <font>
      <name val="Montserrat"/>
      <b val="1"/>
      <color rgb="001C4587"/>
      <sz val="14"/>
    </font>
  </fonts>
  <fills count="4">
    <fill>
      <patternFill/>
    </fill>
    <fill>
      <patternFill patternType="gray125"/>
    </fill>
    <fill>
      <patternFill patternType="solid">
        <fgColor rgb="001C4587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1" fillId="3" borderId="0" pivotButton="0" quotePrefix="0" xfId="0"/>
    <xf numFmtId="2" fontId="0" fillId="0" borderId="0" pivotButton="0" quotePrefix="0" xfId="0"/>
    <xf numFmtId="2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8"/>
  <chart>
    <plotArea>
      <bubbleChart>
        <ser>
          <idx val="0"/>
          <order val="0"/>
          <tx>
            <v>Fijos</v>
          </tx>
          <spPr>
            <a:solidFill xmlns:a="http://schemas.openxmlformats.org/drawingml/2006/main">
              <a:srgbClr val="9AA5B4"/>
            </a:solidFill>
            <a:ln xmlns:a="http://schemas.openxmlformats.org/drawingml/2006/main" w="28575">
              <a:solidFill>
                <a:srgbClr val="9AA5B4"/>
              </a:solidFill>
              <a:prstDash val="solid"/>
            </a:ln>
          </spPr>
          <xVal>
            <numRef>
              <f>'Resultados'!$K$29:$K$36</f>
            </numRef>
          </xVal>
          <yVal>
            <numRef>
              <f>'Resultados'!$L$29:$L$36</f>
            </numRef>
          </yVal>
          <bubbleSize>
            <numRef>
              <f>'Resultados'!$M$29:$M$36</f>
            </numRef>
          </bubbleSize>
        </ser>
        <ser>
          <idx val="1"/>
          <order val="1"/>
          <tx>
            <v>INSUMEX R1</v>
          </tx>
          <spPr>
            <a:noFill xmlns:a="http://schemas.openxmlformats.org/drawingml/2006/main"/>
            <a:ln xmlns:a="http://schemas.openxmlformats.org/drawingml/2006/main" w="28575">
              <a:solidFill>
                <a:srgbClr val="1F7A3A"/>
              </a:solidFill>
              <a:prstDash val="solid"/>
            </a:ln>
          </spPr>
          <xVal>
            <numRef>
              <f>'Resultados'!$K$15</f>
            </numRef>
          </xVal>
          <yVal>
            <numRef>
              <f>'Resultados'!$L$15</f>
            </numRef>
          </yVal>
          <bubbleSize>
            <numRef>
              <f>'Resultados'!$M$15</f>
            </numRef>
          </bubbleSize>
        </ser>
        <ser>
          <idx val="2"/>
          <order val="2"/>
          <tx>
            <v>INSUMEX R2</v>
          </tx>
          <spPr>
            <a:solidFill xmlns:a="http://schemas.openxmlformats.org/drawingml/2006/main">
              <a:srgbClr val="C62828"/>
            </a:solidFill>
            <a:ln xmlns:a="http://schemas.openxmlformats.org/drawingml/2006/main" w="28575">
              <a:solidFill>
                <a:srgbClr val="C62828"/>
              </a:solidFill>
              <a:prstDash val="solid"/>
            </a:ln>
          </spPr>
          <xVal>
            <numRef>
              <f>'Resultados'!$K$17</f>
            </numRef>
          </xVal>
          <yVal>
            <numRef>
              <f>'Resultados'!$L$17</f>
            </numRef>
          </yVal>
          <bubbleSize>
            <numRef>
              <f>'Resultados'!$M$17</f>
            </numRef>
          </bubbleSize>
        </ser>
        <ser>
          <idx val="3"/>
          <order val="3"/>
          <tx>
            <v>NUTRIWHAT R1</v>
          </tx>
          <spPr>
            <a:noFill xmlns:a="http://schemas.openxmlformats.org/drawingml/2006/main"/>
            <a:ln xmlns:a="http://schemas.openxmlformats.org/drawingml/2006/main" w="28575">
              <a:solidFill>
                <a:srgbClr val="1F7A3A"/>
              </a:solidFill>
              <a:prstDash val="solid"/>
            </a:ln>
          </spPr>
          <xVal>
            <numRef>
              <f>'Resultados'!$K$16</f>
            </numRef>
          </xVal>
          <yVal>
            <numRef>
              <f>'Resultados'!$L$16</f>
            </numRef>
          </yVal>
          <bubbleSize>
            <numRef>
              <f>'Resultados'!$M$16</f>
            </numRef>
          </bubbleSize>
        </ser>
        <ser>
          <idx val="4"/>
          <order val="4"/>
          <tx>
            <v>NUTRIWHAT R2</v>
          </tx>
          <spPr>
            <a:solidFill xmlns:a="http://schemas.openxmlformats.org/drawingml/2006/main">
              <a:srgbClr val="C62828"/>
            </a:solidFill>
            <a:ln xmlns:a="http://schemas.openxmlformats.org/drawingml/2006/main" w="28575">
              <a:solidFill>
                <a:srgbClr val="C62828"/>
              </a:solidFill>
              <a:prstDash val="solid"/>
            </a:ln>
          </spPr>
          <xVal>
            <numRef>
              <f>'Resultados'!$K$18</f>
            </numRef>
          </xVal>
          <yVal>
            <numRef>
              <f>'Resultados'!$L$18</f>
            </numRef>
          </yVal>
          <bubbleSize>
            <numRef>
              <f>'Resultados'!$M$18</f>
            </numRef>
          </bubbleSize>
        </ser>
        <bubbleScale val="40"/>
        <axId val="10"/>
        <axId val="20"/>
      </bubbleChart>
      <valAx>
        <axId val="10"/>
        <scaling>
          <orientation val="minMax"/>
          <max val="9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2 MARKET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9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GENERATION CAPACITY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 B · Taller Horizontes (caso Foodsume)</t>
        </is>
      </c>
    </row>
    <row r="2">
      <c r="A2" s="2" t="inlineStr">
        <is>
          <t>Úsalo solo si la app no está disponible. Mismo cálculo que la app: promedio simple por criterio y los pesos de la semilla.</t>
        </is>
      </c>
    </row>
    <row r="3">
      <c r="A3" s="2" t="inlineStr"/>
    </row>
    <row r="4">
      <c r="A4" s="2" t="inlineStr">
        <is>
          <t>1. Cada persona llena una papeleta por ronda (papeleta.html, impresa) con los 2 proyectos y los 6 criterios.</t>
        </is>
      </c>
    </row>
    <row r="5">
      <c r="A5" s="2" t="inlineStr">
        <is>
          <t>2. Digita cada papeleta en la hoja Votos: mesa, ronda, proyecto y los 6 valores (solo 1, 3, 5, 7 o 9). Una fila por proyecto.</t>
        </is>
      </c>
    </row>
    <row r="6">
      <c r="A6" s="2" t="inlineStr">
        <is>
          <t>3. En Resultados escribe en C2 "Sala" o el número de la mesa. Los promedios y los ejes se calculan solos.</t>
        </is>
      </c>
    </row>
    <row r="7">
      <c r="A7" s="2" t="inlineStr">
        <is>
          <t>4. La hoja Matriz muestra los 8 fijos y los 2 vivos en R1 (verde, hueco) y R2 (rojo, sólido). Proyéctala.</t>
        </is>
      </c>
    </row>
    <row r="8">
      <c r="A8" s="2" t="inlineStr">
        <is>
          <t>5. Para conversar con la sala usa los 6 criterios y la columna Total (eje X + eje Y). T2M, Eje X y Eje Y solo ubican la burbuja en la matriz.</t>
        </is>
      </c>
    </row>
    <row r="9">
      <c r="A9" s="2" t="inlineStr"/>
    </row>
    <row r="10">
      <c r="A10" s="2" t="inlineStr">
        <is>
          <t>Si ya tienes los promedios por criterio (por ejemplo, contados a mano), escríbelos en Resultados, filas "Promedio digitado", y deja vacía la hoja Votos.</t>
        </is>
      </c>
    </row>
    <row r="11">
      <c r="A11" s="2" t="inlineStr">
        <is>
          <t>Nunca escribas nombres en la hoja Votos: la papeleta es anónima.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8" customHeight="1">
      <c r="A1" s="3" t="inlineStr">
        <is>
          <t>Mesa</t>
        </is>
      </c>
      <c r="B1" s="3" t="inlineStr">
        <is>
          <t>Ronda</t>
        </is>
      </c>
      <c r="C1" s="3" t="inlineStr">
        <is>
          <t>Proyecto</t>
        </is>
      </c>
      <c r="D1" s="3" t="inlineStr">
        <is>
          <t>Nivel de Alistamiento Técnico</t>
        </is>
      </c>
      <c r="E1" s="3" t="inlineStr">
        <is>
          <t>Nivel de Conocimiento del Cliente/Mercado</t>
        </is>
      </c>
      <c r="F1" s="3" t="inlineStr">
        <is>
          <t>Regulación</t>
        </is>
      </c>
      <c r="G1" s="3" t="inlineStr">
        <is>
          <t>Capacidades Organizacionales</t>
        </is>
      </c>
      <c r="H1" s="3" t="inlineStr">
        <is>
          <t>Alineación y Cercanía Estratégica con el Core</t>
        </is>
      </c>
      <c r="I1" s="3" t="inlineStr">
        <is>
          <t>Inversión Requerida para Probar</t>
        </is>
      </c>
    </row>
  </sheetData>
  <dataValidations count="4">
    <dataValidation sqref="B2:B601" showDropDown="0" showInputMessage="0" showErrorMessage="0" allowBlank="1" type="list">
      <formula1>"1,2"</formula1>
    </dataValidation>
    <dataValidation sqref="C2:C601" showDropDown="0" showInputMessage="0" showErrorMessage="0" allowBlank="1" type="list">
      <formula1>"INSUMEX,NUTRIWHAT"</formula1>
    </dataValidation>
    <dataValidation sqref="D2:I601" showDropDown="0" showInputMessage="0" showErrorMessage="1" allowBlank="1" error="Solo 1, 3, 5, 7 o 9" type="list">
      <formula1>"1,3,5,7,9"</formula1>
    </dataValidation>
    <dataValidation sqref="A2:A601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" t="inlineStr">
        <is>
          <t>Resultados por ronda</t>
        </is>
      </c>
    </row>
    <row r="2">
      <c r="A2" s="1" t="inlineStr">
        <is>
          <t>Alcance (Sala o número de mesa):</t>
        </is>
      </c>
      <c r="C2" s="5" t="inlineStr">
        <is>
          <t>Sala</t>
        </is>
      </c>
    </row>
    <row r="4">
      <c r="A4" s="1" t="inlineStr">
        <is>
          <t>Pesos</t>
        </is>
      </c>
    </row>
    <row r="5">
      <c r="A5" s="2" t="inlineStr">
        <is>
          <t>T2M · alistamiento técnico</t>
        </is>
      </c>
      <c r="C5" s="2" t="n">
        <v>0.3</v>
      </c>
    </row>
    <row r="6">
      <c r="A6" s="2" t="inlineStr">
        <is>
          <t>T2M · conocimiento del cliente</t>
        </is>
      </c>
      <c r="C6" s="2" t="n">
        <v>0.35</v>
      </c>
    </row>
    <row r="7">
      <c r="A7" s="2" t="inlineStr">
        <is>
          <t>T2M · regulación</t>
        </is>
      </c>
      <c r="C7" s="2" t="n">
        <v>0.35</v>
      </c>
    </row>
    <row r="8">
      <c r="A8" s="2" t="inlineStr">
        <is>
          <t>Eje X · T2M</t>
        </is>
      </c>
      <c r="C8" s="2" t="n">
        <v>0.6</v>
      </c>
    </row>
    <row r="9">
      <c r="A9" s="2" t="inlineStr">
        <is>
          <t>Eje X · capacidades organizacionales</t>
        </is>
      </c>
      <c r="C9" s="2" t="n">
        <v>0.4</v>
      </c>
    </row>
    <row r="10">
      <c r="A10" s="2" t="inlineStr">
        <is>
          <t>Eje Y · alineación con el core</t>
        </is>
      </c>
      <c r="C10" s="2" t="n">
        <v>0.7</v>
      </c>
    </row>
    <row r="11">
      <c r="A11" s="2" t="inlineStr">
        <is>
          <t>Eje Y · inversión requerida</t>
        </is>
      </c>
      <c r="C11" s="2" t="n">
        <v>0.3</v>
      </c>
    </row>
    <row r="13">
      <c r="A13" s="1" t="inlineStr">
        <is>
          <t>Proyectos vivos (calculado desde la hoja Votos; si no hay votos, se usa el promedio digitado)</t>
        </is>
      </c>
    </row>
    <row r="14" ht="60" customHeight="1">
      <c r="A14" s="3" t="inlineStr">
        <is>
          <t>Ronda</t>
        </is>
      </c>
      <c r="B14" s="3" t="inlineStr">
        <is>
          <t>Proyecto</t>
        </is>
      </c>
      <c r="C14" s="3" t="inlineStr">
        <is>
          <t>N.º votos</t>
        </is>
      </c>
      <c r="D14" s="3" t="inlineStr">
        <is>
          <t>Nivel de Alistamiento Técnico</t>
        </is>
      </c>
      <c r="E14" s="3" t="inlineStr">
        <is>
          <t>Nivel de Conocimiento del Cliente/Mercado</t>
        </is>
      </c>
      <c r="F14" s="3" t="inlineStr">
        <is>
          <t>Regulación</t>
        </is>
      </c>
      <c r="G14" s="3" t="inlineStr">
        <is>
          <t>Capacidades Organizacionales</t>
        </is>
      </c>
      <c r="H14" s="3" t="inlineStr">
        <is>
          <t>Alineación y Cercanía Estratégica con el Core</t>
        </is>
      </c>
      <c r="I14" s="3" t="inlineStr">
        <is>
          <t>Inversión Requerida para Probar</t>
        </is>
      </c>
      <c r="J14" s="3" t="inlineStr">
        <is>
          <t>T2M</t>
        </is>
      </c>
      <c r="K14" s="3" t="inlineStr">
        <is>
          <t>Eje X</t>
        </is>
      </c>
      <c r="L14" s="3" t="inlineStr">
        <is>
          <t>Eje Y</t>
        </is>
      </c>
      <c r="M14" s="3" t="inlineStr">
        <is>
          <t>TAM</t>
        </is>
      </c>
      <c r="N14" s="3" t="inlineStr">
        <is>
          <t>Total</t>
        </is>
      </c>
    </row>
    <row r="15">
      <c r="A15" t="n">
        <v>1</v>
      </c>
      <c r="B15" s="1" t="inlineStr">
        <is>
          <t>INSUMEX</t>
        </is>
      </c>
      <c r="C15">
        <f>COUNTIFS(Votos!$B$2:$B$601,1,Votos!$C$2:$C$601,"INSUMEX",Votos!$A$2:$A$601,IF(OR($C$2="Sala",$C$2=""),"&lt;&gt;",$C$2))</f>
        <v/>
      </c>
      <c r="D15" s="6">
        <f>IF(C15&gt;0,AVERAGEIFS(Votos!$D$2:$D$601,Votos!$B$2:$B$601,1,Votos!$C$2:$C$601,"INSUMEX",Votos!$A$2:$A$601,IF(OR($C$2="Sala",$C$2=""),"&lt;&gt;",$C$2)),IF(D22="","",D22))</f>
        <v/>
      </c>
      <c r="E15" s="6">
        <f>IF(C15&gt;0,AVERAGEIFS(Votos!$E$2:$E$601,Votos!$B$2:$B$601,1,Votos!$C$2:$C$601,"INSUMEX",Votos!$A$2:$A$601,IF(OR($C$2="Sala",$C$2=""),"&lt;&gt;",$C$2)),IF(E22="","",E22))</f>
        <v/>
      </c>
      <c r="F15" s="6">
        <f>IF(C15&gt;0,AVERAGEIFS(Votos!$F$2:$F$601,Votos!$B$2:$B$601,1,Votos!$C$2:$C$601,"INSUMEX",Votos!$A$2:$A$601,IF(OR($C$2="Sala",$C$2=""),"&lt;&gt;",$C$2)),IF(F22="","",F22))</f>
        <v/>
      </c>
      <c r="G15" s="6">
        <f>IF(C15&gt;0,AVERAGEIFS(Votos!$G$2:$G$601,Votos!$B$2:$B$601,1,Votos!$C$2:$C$601,"INSUMEX",Votos!$A$2:$A$601,IF(OR($C$2="Sala",$C$2=""),"&lt;&gt;",$C$2)),IF(G22="","",G22))</f>
        <v/>
      </c>
      <c r="H15" s="6">
        <f>IF(C15&gt;0,AVERAGEIFS(Votos!$H$2:$H$601,Votos!$B$2:$B$601,1,Votos!$C$2:$C$601,"INSUMEX",Votos!$A$2:$A$601,IF(OR($C$2="Sala",$C$2=""),"&lt;&gt;",$C$2)),IF(H22="","",H22))</f>
        <v/>
      </c>
      <c r="I15" s="6">
        <f>IF(C15&gt;0,AVERAGEIFS(Votos!$I$2:$I$601,Votos!$B$2:$B$601,1,Votos!$C$2:$C$601,"INSUMEX",Votos!$A$2:$A$601,IF(OR($C$2="Sala",$C$2=""),"&lt;&gt;",$C$2)),IF(I22="","",I22))</f>
        <v/>
      </c>
      <c r="J15" s="6">
        <f>IF(COUNT(D15,E15,F15)&lt;3,NA(),D15*$C$5+E15*$C$6+F15*$C$7)</f>
        <v/>
      </c>
      <c r="K15" s="6">
        <f>IF(OR(ISNA(J15),G15=""),NA(),J15*$C$8+G15*$C$9)</f>
        <v/>
      </c>
      <c r="L15" s="6">
        <f>IF(OR(H15="",I15=""),NA(),H15*$C$10+I15*$C$11)</f>
        <v/>
      </c>
      <c r="M15" t="n">
        <v>5</v>
      </c>
      <c r="N15" s="7">
        <f>IF(OR(ISNA(K15),ISNA(L15)),NA(),K15+L15)</f>
        <v/>
      </c>
    </row>
    <row r="16">
      <c r="A16" t="n">
        <v>1</v>
      </c>
      <c r="B16" s="1" t="inlineStr">
        <is>
          <t>NUTRIWHAT</t>
        </is>
      </c>
      <c r="C16">
        <f>COUNTIFS(Votos!$B$2:$B$601,1,Votos!$C$2:$C$601,"NUTRIWHAT",Votos!$A$2:$A$601,IF(OR($C$2="Sala",$C$2=""),"&lt;&gt;",$C$2))</f>
        <v/>
      </c>
      <c r="D16" s="6">
        <f>IF(C16&gt;0,AVERAGEIFS(Votos!$D$2:$D$601,Votos!$B$2:$B$601,1,Votos!$C$2:$C$601,"NUTRIWHAT",Votos!$A$2:$A$601,IF(OR($C$2="Sala",$C$2=""),"&lt;&gt;",$C$2)),IF(D23="","",D23))</f>
        <v/>
      </c>
      <c r="E16" s="6">
        <f>IF(C16&gt;0,AVERAGEIFS(Votos!$E$2:$E$601,Votos!$B$2:$B$601,1,Votos!$C$2:$C$601,"NUTRIWHAT",Votos!$A$2:$A$601,IF(OR($C$2="Sala",$C$2=""),"&lt;&gt;",$C$2)),IF(E23="","",E23))</f>
        <v/>
      </c>
      <c r="F16" s="6">
        <f>IF(C16&gt;0,AVERAGEIFS(Votos!$F$2:$F$601,Votos!$B$2:$B$601,1,Votos!$C$2:$C$601,"NUTRIWHAT",Votos!$A$2:$A$601,IF(OR($C$2="Sala",$C$2=""),"&lt;&gt;",$C$2)),IF(F23="","",F23))</f>
        <v/>
      </c>
      <c r="G16" s="6">
        <f>IF(C16&gt;0,AVERAGEIFS(Votos!$G$2:$G$601,Votos!$B$2:$B$601,1,Votos!$C$2:$C$601,"NUTRIWHAT",Votos!$A$2:$A$601,IF(OR($C$2="Sala",$C$2=""),"&lt;&gt;",$C$2)),IF(G23="","",G23))</f>
        <v/>
      </c>
      <c r="H16" s="6">
        <f>IF(C16&gt;0,AVERAGEIFS(Votos!$H$2:$H$601,Votos!$B$2:$B$601,1,Votos!$C$2:$C$601,"NUTRIWHAT",Votos!$A$2:$A$601,IF(OR($C$2="Sala",$C$2=""),"&lt;&gt;",$C$2)),IF(H23="","",H23))</f>
        <v/>
      </c>
      <c r="I16" s="6">
        <f>IF(C16&gt;0,AVERAGEIFS(Votos!$I$2:$I$601,Votos!$B$2:$B$601,1,Votos!$C$2:$C$601,"NUTRIWHAT",Votos!$A$2:$A$601,IF(OR($C$2="Sala",$C$2=""),"&lt;&gt;",$C$2)),IF(I23="","",I23))</f>
        <v/>
      </c>
      <c r="J16" s="6">
        <f>IF(COUNT(D16,E16,F16)&lt;3,NA(),D16*$C$5+E16*$C$6+F16*$C$7)</f>
        <v/>
      </c>
      <c r="K16" s="6">
        <f>IF(OR(ISNA(J16),G16=""),NA(),J16*$C$8+G16*$C$9)</f>
        <v/>
      </c>
      <c r="L16" s="6">
        <f>IF(OR(H16="",I16=""),NA(),H16*$C$10+I16*$C$11)</f>
        <v/>
      </c>
      <c r="M16" t="n">
        <v>6</v>
      </c>
      <c r="N16" s="7">
        <f>IF(OR(ISNA(K16),ISNA(L16)),NA(),K16+L16)</f>
        <v/>
      </c>
    </row>
    <row r="17">
      <c r="A17" t="n">
        <v>2</v>
      </c>
      <c r="B17" s="1" t="inlineStr">
        <is>
          <t>INSUMEX</t>
        </is>
      </c>
      <c r="C17">
        <f>COUNTIFS(Votos!$B$2:$B$601,2,Votos!$C$2:$C$601,"INSUMEX",Votos!$A$2:$A$601,IF(OR($C$2="Sala",$C$2=""),"&lt;&gt;",$C$2))</f>
        <v/>
      </c>
      <c r="D17" s="6">
        <f>IF(C17&gt;0,AVERAGEIFS(Votos!$D$2:$D$601,Votos!$B$2:$B$601,2,Votos!$C$2:$C$601,"INSUMEX",Votos!$A$2:$A$601,IF(OR($C$2="Sala",$C$2=""),"&lt;&gt;",$C$2)),IF(D24="","",D24))</f>
        <v/>
      </c>
      <c r="E17" s="6">
        <f>IF(C17&gt;0,AVERAGEIFS(Votos!$E$2:$E$601,Votos!$B$2:$B$601,2,Votos!$C$2:$C$601,"INSUMEX",Votos!$A$2:$A$601,IF(OR($C$2="Sala",$C$2=""),"&lt;&gt;",$C$2)),IF(E24="","",E24))</f>
        <v/>
      </c>
      <c r="F17" s="6">
        <f>IF(C17&gt;0,AVERAGEIFS(Votos!$F$2:$F$601,Votos!$B$2:$B$601,2,Votos!$C$2:$C$601,"INSUMEX",Votos!$A$2:$A$601,IF(OR($C$2="Sala",$C$2=""),"&lt;&gt;",$C$2)),IF(F24="","",F24))</f>
        <v/>
      </c>
      <c r="G17" s="6">
        <f>IF(C17&gt;0,AVERAGEIFS(Votos!$G$2:$G$601,Votos!$B$2:$B$601,2,Votos!$C$2:$C$601,"INSUMEX",Votos!$A$2:$A$601,IF(OR($C$2="Sala",$C$2=""),"&lt;&gt;",$C$2)),IF(G24="","",G24))</f>
        <v/>
      </c>
      <c r="H17" s="6">
        <f>IF(C17&gt;0,AVERAGEIFS(Votos!$H$2:$H$601,Votos!$B$2:$B$601,2,Votos!$C$2:$C$601,"INSUMEX",Votos!$A$2:$A$601,IF(OR($C$2="Sala",$C$2=""),"&lt;&gt;",$C$2)),IF(H24="","",H24))</f>
        <v/>
      </c>
      <c r="I17" s="6">
        <f>IF(C17&gt;0,AVERAGEIFS(Votos!$I$2:$I$601,Votos!$B$2:$B$601,2,Votos!$C$2:$C$601,"INSUMEX",Votos!$A$2:$A$601,IF(OR($C$2="Sala",$C$2=""),"&lt;&gt;",$C$2)),IF(I24="","",I24))</f>
        <v/>
      </c>
      <c r="J17" s="6">
        <f>IF(COUNT(D17,E17,F17)&lt;3,NA(),D17*$C$5+E17*$C$6+F17*$C$7)</f>
        <v/>
      </c>
      <c r="K17" s="6">
        <f>IF(OR(ISNA(J17),G17=""),NA(),J17*$C$8+G17*$C$9)</f>
        <v/>
      </c>
      <c r="L17" s="6">
        <f>IF(OR(H17="",I17=""),NA(),H17*$C$10+I17*$C$11)</f>
        <v/>
      </c>
      <c r="M17" t="n">
        <v>5</v>
      </c>
      <c r="N17" s="7">
        <f>IF(OR(ISNA(K17),ISNA(L17)),NA(),K17+L17)</f>
        <v/>
      </c>
    </row>
    <row r="18">
      <c r="A18" t="n">
        <v>2</v>
      </c>
      <c r="B18" s="1" t="inlineStr">
        <is>
          <t>NUTRIWHAT</t>
        </is>
      </c>
      <c r="C18">
        <f>COUNTIFS(Votos!$B$2:$B$601,2,Votos!$C$2:$C$601,"NUTRIWHAT",Votos!$A$2:$A$601,IF(OR($C$2="Sala",$C$2=""),"&lt;&gt;",$C$2))</f>
        <v/>
      </c>
      <c r="D18" s="6">
        <f>IF(C18&gt;0,AVERAGEIFS(Votos!$D$2:$D$601,Votos!$B$2:$B$601,2,Votos!$C$2:$C$601,"NUTRIWHAT",Votos!$A$2:$A$601,IF(OR($C$2="Sala",$C$2=""),"&lt;&gt;",$C$2)),IF(D25="","",D25))</f>
        <v/>
      </c>
      <c r="E18" s="6">
        <f>IF(C18&gt;0,AVERAGEIFS(Votos!$E$2:$E$601,Votos!$B$2:$B$601,2,Votos!$C$2:$C$601,"NUTRIWHAT",Votos!$A$2:$A$601,IF(OR($C$2="Sala",$C$2=""),"&lt;&gt;",$C$2)),IF(E25="","",E25))</f>
        <v/>
      </c>
      <c r="F18" s="6">
        <f>IF(C18&gt;0,AVERAGEIFS(Votos!$F$2:$F$601,Votos!$B$2:$B$601,2,Votos!$C$2:$C$601,"NUTRIWHAT",Votos!$A$2:$A$601,IF(OR($C$2="Sala",$C$2=""),"&lt;&gt;",$C$2)),IF(F25="","",F25))</f>
        <v/>
      </c>
      <c r="G18" s="6">
        <f>IF(C18&gt;0,AVERAGEIFS(Votos!$G$2:$G$601,Votos!$B$2:$B$601,2,Votos!$C$2:$C$601,"NUTRIWHAT",Votos!$A$2:$A$601,IF(OR($C$2="Sala",$C$2=""),"&lt;&gt;",$C$2)),IF(G25="","",G25))</f>
        <v/>
      </c>
      <c r="H18" s="6">
        <f>IF(C18&gt;0,AVERAGEIFS(Votos!$H$2:$H$601,Votos!$B$2:$B$601,2,Votos!$C$2:$C$601,"NUTRIWHAT",Votos!$A$2:$A$601,IF(OR($C$2="Sala",$C$2=""),"&lt;&gt;",$C$2)),IF(H25="","",H25))</f>
        <v/>
      </c>
      <c r="I18" s="6">
        <f>IF(C18&gt;0,AVERAGEIFS(Votos!$I$2:$I$601,Votos!$B$2:$B$601,2,Votos!$C$2:$C$601,"NUTRIWHAT",Votos!$A$2:$A$601,IF(OR($C$2="Sala",$C$2=""),"&lt;&gt;",$C$2)),IF(I25="","",I25))</f>
        <v/>
      </c>
      <c r="J18" s="6">
        <f>IF(COUNT(D18,E18,F18)&lt;3,NA(),D18*$C$5+E18*$C$6+F18*$C$7)</f>
        <v/>
      </c>
      <c r="K18" s="6">
        <f>IF(OR(ISNA(J18),G18=""),NA(),J18*$C$8+G18*$C$9)</f>
        <v/>
      </c>
      <c r="L18" s="6">
        <f>IF(OR(H18="",I18=""),NA(),H18*$C$10+I18*$C$11)</f>
        <v/>
      </c>
      <c r="M18" t="n">
        <v>6</v>
      </c>
      <c r="N18" s="7">
        <f>IF(OR(ISNA(K18),ISNA(L18)),NA(),K18+L18)</f>
        <v/>
      </c>
    </row>
    <row r="21">
      <c r="A21" s="1" t="inlineStr">
        <is>
          <t>Promedio digitado (solo si no usas la hoja Votos)</t>
        </is>
      </c>
    </row>
    <row r="22">
      <c r="A22" t="n">
        <v>1</v>
      </c>
      <c r="B22" t="inlineStr">
        <is>
          <t>INSUMEX</t>
        </is>
      </c>
      <c r="D22" s="8" t="n"/>
      <c r="E22" s="8" t="n"/>
      <c r="F22" s="8" t="n"/>
      <c r="G22" s="8" t="n"/>
      <c r="H22" s="8" t="n"/>
      <c r="I22" s="8" t="n"/>
    </row>
    <row r="23">
      <c r="A23" t="n">
        <v>1</v>
      </c>
      <c r="B23" t="inlineStr">
        <is>
          <t>NUTRIWHAT</t>
        </is>
      </c>
      <c r="D23" s="8" t="n"/>
      <c r="E23" s="8" t="n"/>
      <c r="F23" s="8" t="n"/>
      <c r="G23" s="8" t="n"/>
      <c r="H23" s="8" t="n"/>
      <c r="I23" s="8" t="n"/>
    </row>
    <row r="24">
      <c r="A24" t="n">
        <v>2</v>
      </c>
      <c r="B24" t="inlineStr">
        <is>
          <t>INSUMEX</t>
        </is>
      </c>
      <c r="D24" s="8" t="n"/>
      <c r="E24" s="8" t="n"/>
      <c r="F24" s="8" t="n"/>
      <c r="G24" s="8" t="n"/>
      <c r="H24" s="8" t="n"/>
      <c r="I24" s="8" t="n"/>
    </row>
    <row r="25">
      <c r="A25" t="n">
        <v>2</v>
      </c>
      <c r="B25" t="inlineStr">
        <is>
          <t>NUTRIWHAT</t>
        </is>
      </c>
      <c r="D25" s="8" t="n"/>
      <c r="E25" s="8" t="n"/>
      <c r="F25" s="8" t="n"/>
      <c r="G25" s="8" t="n"/>
      <c r="H25" s="8" t="n"/>
      <c r="I25" s="8" t="n"/>
    </row>
    <row r="27">
      <c r="A27" s="1" t="inlineStr">
        <is>
          <t>Proyectos fijos (calificación precargada de la semilla, no se votan)</t>
        </is>
      </c>
    </row>
    <row r="28" ht="60" customHeight="1">
      <c r="A28" s="3" t="inlineStr"/>
      <c r="B28" s="3" t="inlineStr">
        <is>
          <t>Proyecto</t>
        </is>
      </c>
      <c r="C28" s="3" t="inlineStr"/>
      <c r="D28" s="3" t="inlineStr">
        <is>
          <t>Nivel de Alistamiento Técnico</t>
        </is>
      </c>
      <c r="E28" s="3" t="inlineStr">
        <is>
          <t>Nivel de Conocimiento del Cliente/Mercado</t>
        </is>
      </c>
      <c r="F28" s="3" t="inlineStr">
        <is>
          <t>Regulación</t>
        </is>
      </c>
      <c r="G28" s="3" t="inlineStr">
        <is>
          <t>Capacidades Organizacionales</t>
        </is>
      </c>
      <c r="H28" s="3" t="inlineStr">
        <is>
          <t>Alineación y Cercanía Estratégica con el Core</t>
        </is>
      </c>
      <c r="I28" s="3" t="inlineStr">
        <is>
          <t>Inversión Requerida para Probar</t>
        </is>
      </c>
      <c r="J28" s="3" t="inlineStr">
        <is>
          <t>T2M</t>
        </is>
      </c>
      <c r="K28" s="3" t="inlineStr">
        <is>
          <t>Eje X</t>
        </is>
      </c>
      <c r="L28" s="3" t="inlineStr">
        <is>
          <t>Eje Y</t>
        </is>
      </c>
      <c r="M28" s="3" t="inlineStr">
        <is>
          <t>TAM</t>
        </is>
      </c>
      <c r="N28" s="3" t="inlineStr">
        <is>
          <t>Total</t>
        </is>
      </c>
    </row>
    <row r="29">
      <c r="B29" t="inlineStr">
        <is>
          <t>BIOSKIN</t>
        </is>
      </c>
      <c r="D29" t="n">
        <v>7</v>
      </c>
      <c r="E29" t="n">
        <v>7</v>
      </c>
      <c r="F29" t="n">
        <v>2</v>
      </c>
      <c r="G29" t="n">
        <v>3</v>
      </c>
      <c r="H29" t="n">
        <v>8</v>
      </c>
      <c r="I29" t="n">
        <v>1</v>
      </c>
      <c r="J29" s="6">
        <f>D29*$C$5+E29*$C$6+F29*$C$7</f>
        <v/>
      </c>
      <c r="K29" s="6">
        <f>J29*$C$8+G29*$C$9</f>
        <v/>
      </c>
      <c r="L29" s="6">
        <f>H29*$C$10+I29*$C$11</f>
        <v/>
      </c>
      <c r="M29" t="n">
        <v>10</v>
      </c>
      <c r="N29" s="6">
        <f>K29+L29</f>
        <v/>
      </c>
    </row>
    <row r="30">
      <c r="B30" t="inlineStr">
        <is>
          <t>CRYPTO TRADE</t>
        </is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s="6">
        <f>D30*$C$5+E30*$C$6+F30*$C$7</f>
        <v/>
      </c>
      <c r="K30" s="6">
        <f>J30*$C$8+G30*$C$9</f>
        <v/>
      </c>
      <c r="L30" s="6">
        <f>H30*$C$10+I30*$C$11</f>
        <v/>
      </c>
      <c r="M30" t="n">
        <v>6</v>
      </c>
      <c r="N30" s="6">
        <f>K30+L30</f>
        <v/>
      </c>
    </row>
    <row r="31">
      <c r="B31" t="inlineStr">
        <is>
          <t>TRUCKPOOL</t>
        </is>
      </c>
      <c r="D31" t="n">
        <v>7</v>
      </c>
      <c r="E31" t="n">
        <v>4.6</v>
      </c>
      <c r="F31" t="n">
        <v>6</v>
      </c>
      <c r="G31" t="n">
        <v>3</v>
      </c>
      <c r="H31" t="n">
        <v>9</v>
      </c>
      <c r="I31" t="n">
        <v>7</v>
      </c>
      <c r="J31" s="6">
        <f>D31*$C$5+E31*$C$6+F31*$C$7</f>
        <v/>
      </c>
      <c r="K31" s="6">
        <f>J31*$C$8+G31*$C$9</f>
        <v/>
      </c>
      <c r="L31" s="6">
        <f>H31*$C$10+I31*$C$11</f>
        <v/>
      </c>
      <c r="M31" t="n">
        <v>7</v>
      </c>
      <c r="N31" s="6">
        <f>K31+L31</f>
        <v/>
      </c>
    </row>
    <row r="32">
      <c r="B32" t="inlineStr">
        <is>
          <t>COOLING72</t>
        </is>
      </c>
      <c r="D32" t="n">
        <v>2.6</v>
      </c>
      <c r="E32" t="n">
        <v>2.8</v>
      </c>
      <c r="F32" t="n">
        <v>3</v>
      </c>
      <c r="G32" t="n">
        <v>3</v>
      </c>
      <c r="H32" t="n">
        <v>7</v>
      </c>
      <c r="I32" t="n">
        <v>7</v>
      </c>
      <c r="J32" s="6">
        <f>D32*$C$5+E32*$C$6+F32*$C$7</f>
        <v/>
      </c>
      <c r="K32" s="6">
        <f>J32*$C$8+G32*$C$9</f>
        <v/>
      </c>
      <c r="L32" s="6">
        <f>H32*$C$10+I32*$C$11</f>
        <v/>
      </c>
      <c r="M32" t="n">
        <v>4</v>
      </c>
      <c r="N32" s="6">
        <f>K32+L32</f>
        <v/>
      </c>
    </row>
    <row r="33">
      <c r="B33" t="inlineStr">
        <is>
          <t>SUMSNACK</t>
        </is>
      </c>
      <c r="D33" t="n">
        <v>7</v>
      </c>
      <c r="E33" t="n">
        <v>3</v>
      </c>
      <c r="F33" t="n">
        <v>5</v>
      </c>
      <c r="G33" t="n">
        <v>3</v>
      </c>
      <c r="H33" t="n">
        <v>5</v>
      </c>
      <c r="I33" t="n">
        <v>7</v>
      </c>
      <c r="J33" s="6">
        <f>D33*$C$5+E33*$C$6+F33*$C$7</f>
        <v/>
      </c>
      <c r="K33" s="6">
        <f>J33*$C$8+G33*$C$9</f>
        <v/>
      </c>
      <c r="L33" s="6">
        <f>H33*$C$10+I33*$C$11</f>
        <v/>
      </c>
      <c r="M33" t="n">
        <v>2</v>
      </c>
      <c r="N33" s="6">
        <f>K33+L33</f>
        <v/>
      </c>
    </row>
    <row r="34">
      <c r="B34" t="inlineStr">
        <is>
          <t>YUMMI</t>
        </is>
      </c>
      <c r="D34" t="n">
        <v>7</v>
      </c>
      <c r="E34" t="n">
        <v>7</v>
      </c>
      <c r="F34" t="n">
        <v>9</v>
      </c>
      <c r="G34" t="n">
        <v>9</v>
      </c>
      <c r="H34" t="n">
        <v>7</v>
      </c>
      <c r="I34" t="n">
        <v>5</v>
      </c>
      <c r="J34" s="6">
        <f>D34*$C$5+E34*$C$6+F34*$C$7</f>
        <v/>
      </c>
      <c r="K34" s="6">
        <f>J34*$C$8+G34*$C$9</f>
        <v/>
      </c>
      <c r="L34" s="6">
        <f>H34*$C$10+I34*$C$11</f>
        <v/>
      </c>
      <c r="M34" t="n">
        <v>1</v>
      </c>
      <c r="N34" s="6">
        <f>K34+L34</f>
        <v/>
      </c>
    </row>
    <row r="35">
      <c r="B35" t="inlineStr">
        <is>
          <t>DEHIDRA</t>
        </is>
      </c>
      <c r="D35" t="n">
        <v>7</v>
      </c>
      <c r="E35" t="n">
        <v>1</v>
      </c>
      <c r="F35" t="n">
        <v>1</v>
      </c>
      <c r="G35" t="n">
        <v>9</v>
      </c>
      <c r="H35" t="n">
        <v>3</v>
      </c>
      <c r="I35" t="n">
        <v>7</v>
      </c>
      <c r="J35" s="6">
        <f>D35*$C$5+E35*$C$6+F35*$C$7</f>
        <v/>
      </c>
      <c r="K35" s="6">
        <f>J35*$C$8+G35*$C$9</f>
        <v/>
      </c>
      <c r="L35" s="6">
        <f>H35*$C$10+I35*$C$11</f>
        <v/>
      </c>
      <c r="M35" t="n">
        <v>1</v>
      </c>
      <c r="N35" s="6">
        <f>K35+L35</f>
        <v/>
      </c>
    </row>
    <row r="36">
      <c r="B36" t="inlineStr">
        <is>
          <t>NUTREPET</t>
        </is>
      </c>
      <c r="D36" t="n">
        <v>3</v>
      </c>
      <c r="E36" t="n">
        <v>1</v>
      </c>
      <c r="F36" t="n">
        <v>7</v>
      </c>
      <c r="G36" t="n">
        <v>5</v>
      </c>
      <c r="H36" t="n">
        <v>1</v>
      </c>
      <c r="I36" t="n">
        <v>7</v>
      </c>
      <c r="J36" s="6">
        <f>D36*$C$5+E36*$C$6+F36*$C$7</f>
        <v/>
      </c>
      <c r="K36" s="6">
        <f>J36*$C$8+G36*$C$9</f>
        <v/>
      </c>
      <c r="L36" s="6">
        <f>H36*$C$10+I36*$C$11</f>
        <v/>
      </c>
      <c r="M36" t="n">
        <v>8</v>
      </c>
      <c r="N36" s="6">
        <f>K36+L36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PRIORIZACIÓN DE PORTAFOLIO POR HORIZONTES</t>
        </is>
      </c>
    </row>
    <row r="36">
      <c r="A36" s="2" t="inlineStr">
        <is>
          <t>Fijos en gris; cada vivo aparece en R1 (verde, hueco) y R2 (rojo, sólido). Tamaño de la burbuja: TAM. Horizontes: H1 hasta radio 4,5; H2 hasta 9; H3 afuera.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2026-10-19T12:03:44Z</dcterms:created>
  <dcterms:modified xmlns:dcterms="http://purl.org/dc/terms/" xmlns:xsi="http://www.w3.org/2001/XMLSchema-instance" xsi:type="dcterms:W3CDTF">2026-10-19T12:03:44Z</dcterms:modified>
</cp:coreProperties>
</file>